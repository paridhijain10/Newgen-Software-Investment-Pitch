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89" documentId="11_E60897F41BE170836B02CE998F75CCDC64E183C8" xr6:coauthVersionLast="47" xr6:coauthVersionMax="47" xr10:uidLastSave="{7D176160-4DA3-4282-9D9D-3CF3792FC631}"/>
  <bookViews>
    <workbookView xWindow="240" yWindow="105" windowWidth="14805" windowHeight="8010" firstSheet="5" activeTab="5" xr2:uid="{00000000-000D-0000-FFFF-FFFF00000000}"/>
  </bookViews>
  <sheets>
    <sheet name="Financials" sheetId="1" r:id="rId1"/>
    <sheet name="DCF" sheetId="2" r:id="rId2"/>
    <sheet name="Comps" sheetId="3" r:id="rId3"/>
    <sheet name="Industry" sheetId="4" r:id="rId4"/>
    <sheet name="Research" sheetId="5" r:id="rId5"/>
    <sheet name="Pitch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5" l="1"/>
  <c r="E17" i="3"/>
  <c r="E16" i="3"/>
  <c r="E15" i="3"/>
  <c r="E14" i="3"/>
  <c r="E13" i="3"/>
  <c r="B19" i="3"/>
  <c r="B18" i="3"/>
  <c r="B17" i="3"/>
  <c r="B16" i="3"/>
  <c r="B15" i="3"/>
  <c r="B14" i="3"/>
  <c r="B13" i="3"/>
  <c r="H10" i="3"/>
  <c r="G10" i="3"/>
  <c r="H4" i="3"/>
  <c r="G4" i="3"/>
  <c r="C4" i="3"/>
  <c r="F4" i="3"/>
  <c r="E4" i="3"/>
  <c r="B4" i="3"/>
  <c r="B47" i="2"/>
  <c r="B49" i="2"/>
  <c r="B46" i="2"/>
  <c r="B44" i="2"/>
  <c r="B43" i="2"/>
  <c r="B41" i="2"/>
  <c r="B39" i="2"/>
  <c r="F37" i="2"/>
  <c r="F36" i="2"/>
  <c r="F34" i="2"/>
  <c r="E34" i="2"/>
  <c r="D34" i="2"/>
  <c r="C34" i="2"/>
  <c r="B34" i="2"/>
  <c r="B30" i="2"/>
  <c r="B26" i="2"/>
  <c r="C18" i="2"/>
  <c r="C20" i="2" s="1"/>
  <c r="D18" i="2"/>
  <c r="D20" i="2" s="1"/>
  <c r="E18" i="2"/>
  <c r="E20" i="2" s="1"/>
  <c r="F18" i="2"/>
  <c r="F20" i="2" s="1"/>
  <c r="B18" i="2"/>
  <c r="B20" i="2" s="1"/>
  <c r="C15" i="2"/>
  <c r="D15" i="2"/>
  <c r="E15" i="2"/>
  <c r="F15" i="2"/>
  <c r="B15" i="2"/>
  <c r="C12" i="2"/>
  <c r="D12" i="2"/>
  <c r="E12" i="2"/>
  <c r="F12" i="2"/>
  <c r="B12" i="2"/>
  <c r="C11" i="2"/>
  <c r="D11" i="2"/>
  <c r="E11" i="2"/>
  <c r="F11" i="2"/>
  <c r="B11" i="2"/>
  <c r="C9" i="2"/>
  <c r="D9" i="2"/>
  <c r="E9" i="2"/>
  <c r="F9" i="2"/>
  <c r="B9" i="2"/>
  <c r="B5" i="2"/>
  <c r="B28" i="1"/>
  <c r="C28" i="1"/>
  <c r="D28" i="1"/>
  <c r="E28" i="1"/>
  <c r="F28" i="1"/>
  <c r="B29" i="1"/>
  <c r="C29" i="1"/>
  <c r="D29" i="1"/>
  <c r="E29" i="1"/>
  <c r="F29" i="1"/>
  <c r="C35" i="1"/>
  <c r="D35" i="1"/>
  <c r="E35" i="1"/>
  <c r="F35" i="1"/>
  <c r="C36" i="1"/>
  <c r="D36" i="1"/>
  <c r="E36" i="1"/>
  <c r="F36" i="1"/>
  <c r="C37" i="1"/>
  <c r="D37" i="1"/>
  <c r="E37" i="1"/>
  <c r="F37" i="1"/>
  <c r="B7" i="2" l="1"/>
  <c r="C5" i="2"/>
  <c r="C7" i="2" l="1"/>
  <c r="D5" i="2"/>
  <c r="D7" i="2" l="1"/>
  <c r="E5" i="2"/>
  <c r="E7" i="2" l="1"/>
  <c r="F5" i="2"/>
  <c r="F7" i="2" s="1"/>
</calcChain>
</file>

<file path=xl/sharedStrings.xml><?xml version="1.0" encoding="utf-8"?>
<sst xmlns="http://schemas.openxmlformats.org/spreadsheetml/2006/main" count="265" uniqueCount="213">
  <si>
    <t>Financials</t>
  </si>
  <si>
    <t>Income Statement</t>
  </si>
  <si>
    <t>₹ Crores</t>
  </si>
  <si>
    <t>FY22</t>
  </si>
  <si>
    <t>FY23</t>
  </si>
  <si>
    <t>FY24</t>
  </si>
  <si>
    <t>FY25</t>
  </si>
  <si>
    <t>FY26</t>
  </si>
  <si>
    <t>Revenue</t>
  </si>
  <si>
    <t>Other Income</t>
  </si>
  <si>
    <t>YoY Growth</t>
  </si>
  <si>
    <t>—</t>
  </si>
  <si>
    <t>EBITDA</t>
  </si>
  <si>
    <t>EBITDA Margin</t>
  </si>
  <si>
    <t>EBIT</t>
  </si>
  <si>
    <t>EBIT Margin</t>
  </si>
  <si>
    <t>Reported PAT</t>
  </si>
  <si>
    <t>PAT Margin</t>
  </si>
  <si>
    <t>Diluted EPS</t>
  </si>
  <si>
    <t>Cash Flow</t>
  </si>
  <si>
    <t>CFO</t>
  </si>
  <si>
    <t>Capex</t>
  </si>
  <si>
    <t>Free Cash Flow</t>
  </si>
  <si>
    <t>FCF Margin</t>
  </si>
  <si>
    <t>Operating Metrics</t>
  </si>
  <si>
    <t>₹ Crores/Count</t>
  </si>
  <si>
    <t>Subscription Revenue</t>
  </si>
  <si>
    <t>SaaS Revenue</t>
  </si>
  <si>
    <t>Annuity Revenue</t>
  </si>
  <si>
    <t>Subscription % of Revenue</t>
  </si>
  <si>
    <t>Annuity % of Revenue</t>
  </si>
  <si>
    <t>New Logos</t>
  </si>
  <si>
    <t>Customers &gt; ₹5 Cr Billing</t>
  </si>
  <si>
    <t>Growth Metrics</t>
  </si>
  <si>
    <t>Metric</t>
  </si>
  <si>
    <t>Subscription Revenue Growth</t>
  </si>
  <si>
    <t>Annuity Revenue Growth</t>
  </si>
  <si>
    <t>Customers &gt; ₹5 Cr Growth</t>
  </si>
  <si>
    <t>DCF</t>
  </si>
  <si>
    <t>FY27E</t>
  </si>
  <si>
    <t>FY28E</t>
  </si>
  <si>
    <t>FY29E</t>
  </si>
  <si>
    <t>FY30E</t>
  </si>
  <si>
    <t>FY31E</t>
  </si>
  <si>
    <t>Revenue Growth</t>
  </si>
  <si>
    <t>D&amp;A % Revenue</t>
  </si>
  <si>
    <t>Tax Rate</t>
  </si>
  <si>
    <t>Tax on EBIT</t>
  </si>
  <si>
    <t>NOPAT</t>
  </si>
  <si>
    <t>Capex % Revenue</t>
  </si>
  <si>
    <t>Change in NWC % Revenue</t>
  </si>
  <si>
    <t>Change in NWC</t>
  </si>
  <si>
    <t>FCFF</t>
  </si>
  <si>
    <t>WACC Calculation</t>
  </si>
  <si>
    <t>Risk-Free Rate</t>
  </si>
  <si>
    <t>Beta</t>
  </si>
  <si>
    <t>Market Risk Premium</t>
  </si>
  <si>
    <t>Cost of Equity</t>
  </si>
  <si>
    <t>Cost of Debt</t>
  </si>
  <si>
    <t>Debt / Capital</t>
  </si>
  <si>
    <t>Equity / Capital</t>
  </si>
  <si>
    <t>WACC</t>
  </si>
  <si>
    <t>Terminal Growth Rate</t>
  </si>
  <si>
    <t>PV of FCFF</t>
  </si>
  <si>
    <t>Terminal Value</t>
  </si>
  <si>
    <t>PV of Terminal Value</t>
  </si>
  <si>
    <t>Enterprise Value</t>
  </si>
  <si>
    <t>Cash &amp; Investments</t>
  </si>
  <si>
    <t>Debt</t>
  </si>
  <si>
    <t>Net Cash</t>
  </si>
  <si>
    <t>Equity Value</t>
  </si>
  <si>
    <t>Shares Outstanding (Cr)</t>
  </si>
  <si>
    <t>Implied Share Price</t>
  </si>
  <si>
    <t>Current Share Price</t>
  </si>
  <si>
    <t>Upside / (Downside)</t>
  </si>
  <si>
    <t>Trading Comparables</t>
  </si>
  <si>
    <t>Company</t>
  </si>
  <si>
    <t>Share Price</t>
  </si>
  <si>
    <t>Market Cap (₹ Cr)</t>
  </si>
  <si>
    <t>Enterprise Value (₹ Cr)</t>
  </si>
  <si>
    <t>Revenue (₹ Cr)</t>
  </si>
  <si>
    <t>EBITDA (₹ Cr)</t>
  </si>
  <si>
    <t>P/E</t>
  </si>
  <si>
    <t>EV/EBITDA</t>
  </si>
  <si>
    <t>Newgen Software</t>
  </si>
  <si>
    <t>Persistent Systems</t>
  </si>
  <si>
    <t>Coforge</t>
  </si>
  <si>
    <t>Mphasis</t>
  </si>
  <si>
    <t>OFSS</t>
  </si>
  <si>
    <t>Peer Median</t>
  </si>
  <si>
    <t>EV/EBITDA Valuation</t>
  </si>
  <si>
    <t>P/E Valuation</t>
  </si>
  <si>
    <t>Peer Median EV/EBITDA</t>
  </si>
  <si>
    <t>Peer Median P/E</t>
  </si>
  <si>
    <t>Newgen FY26 EBITDA</t>
  </si>
  <si>
    <t>Newgen FY26 PAT</t>
  </si>
  <si>
    <t>Implied Enterprise Value</t>
  </si>
  <si>
    <t>Implied Equity Value</t>
  </si>
  <si>
    <t>Industry Overview</t>
  </si>
  <si>
    <t>Market Opportunity</t>
  </si>
  <si>
    <t>India Digital Transformation Market</t>
  </si>
  <si>
    <t>$bn, 2025</t>
  </si>
  <si>
    <t>$bn, 2030</t>
  </si>
  <si>
    <t>Market CAGR</t>
  </si>
  <si>
    <t>2025–30</t>
  </si>
  <si>
    <t>India Software Spendin</t>
  </si>
  <si>
    <t>$bn, 2026</t>
  </si>
  <si>
    <t>Software Spending Growth</t>
  </si>
  <si>
    <t>YoY, 2026</t>
  </si>
  <si>
    <t>Key Growth Drivers</t>
  </si>
  <si>
    <t>AI &amp; Generative AI</t>
  </si>
  <si>
    <t>High</t>
  </si>
  <si>
    <t>Cloud Adoption</t>
  </si>
  <si>
    <t>Low-Code / Automation</t>
  </si>
  <si>
    <t>Enterprise Digitalization</t>
  </si>
  <si>
    <t>Process Modernization</t>
  </si>
  <si>
    <t>Newgen Industry Exposure</t>
  </si>
  <si>
    <t>FY26 Revenue</t>
  </si>
  <si>
    <t>FY26 Annuity Revenue</t>
  </si>
  <si>
    <t>FY26 Subscription Revenue</t>
  </si>
  <si>
    <t>SaaS Growth</t>
  </si>
  <si>
    <t>Customers &gt; ₹5 Cr</t>
  </si>
  <si>
    <t>US Revenue Growth</t>
  </si>
  <si>
    <t>APAC Revenue Growth</t>
  </si>
  <si>
    <t>Competitive Position</t>
  </si>
  <si>
    <t>Core Platform</t>
  </si>
  <si>
    <t>NewgenONE</t>
  </si>
  <si>
    <t>Low-Code</t>
  </si>
  <si>
    <t>Yes</t>
  </si>
  <si>
    <t>AI / ML</t>
  </si>
  <si>
    <t>Intelligent Document Processing</t>
  </si>
  <si>
    <t>Content Management</t>
  </si>
  <si>
    <t>Process Automation</t>
  </si>
  <si>
    <t>Key Verticals</t>
  </si>
  <si>
    <t>BFSI / Government / Healthcare</t>
  </si>
  <si>
    <t>Investment Research</t>
  </si>
  <si>
    <t>Investment Thesis</t>
  </si>
  <si>
    <t>FY22–FY26 Revenue CAGR</t>
  </si>
  <si>
    <t>Recurring Revenue</t>
  </si>
  <si>
    <t>Subscription Growth</t>
  </si>
  <si>
    <t>FY26 YoY Growth</t>
  </si>
  <si>
    <t>Large Customers</t>
  </si>
  <si>
    <t>&gt;₹5 Cr Billing</t>
  </si>
  <si>
    <t>Key Catalysts</t>
  </si>
  <si>
    <t>AI Monetization</t>
  </si>
  <si>
    <t>Agentic AI embedded in NewgenONE</t>
  </si>
  <si>
    <t>SaaS Expansion</t>
  </si>
  <si>
    <t>SaaS growth +36% YoY</t>
  </si>
  <si>
    <t>Subscription Mix</t>
  </si>
  <si>
    <t>Subscription revenue +24% YoY</t>
  </si>
  <si>
    <t>Customer Expansion</t>
  </si>
  <si>
    <t>101 customers &gt;₹5 Cr</t>
  </si>
  <si>
    <t>US Expansion</t>
  </si>
  <si>
    <t>US revenue +17% YoY</t>
  </si>
  <si>
    <t>Product Recognition</t>
  </si>
  <si>
    <t>67 patents filed to date</t>
  </si>
  <si>
    <t>Competitive Advantages</t>
  </si>
  <si>
    <t>Unified Platform</t>
  </si>
  <si>
    <t>Content + Process + Communication + AI</t>
  </si>
  <si>
    <t>Enterprise application development</t>
  </si>
  <si>
    <t>Industry Focus</t>
  </si>
  <si>
    <t>₹968 Cr annuity revenue</t>
  </si>
  <si>
    <t>Customer Stickiness</t>
  </si>
  <si>
    <t>101 customers &gt;₹5 Cr billing</t>
  </si>
  <si>
    <t>Key Risks</t>
  </si>
  <si>
    <t>FY26 revenue growth slowed to 6%</t>
  </si>
  <si>
    <t>Competition</t>
  </si>
  <si>
    <t>Global &amp; Indian software vendors</t>
  </si>
  <si>
    <t>AI Execution</t>
  </si>
  <si>
    <t>Monetization of AI investments</t>
  </si>
  <si>
    <t>International Exposure</t>
  </si>
  <si>
    <t>US / international demand sensitivity</t>
  </si>
  <si>
    <t>Talent</t>
  </si>
  <si>
    <t>Dependence on skilled technology professionals</t>
  </si>
  <si>
    <t>Valuation</t>
  </si>
  <si>
    <t>DCF below current market price</t>
  </si>
  <si>
    <t>Core Thesis</t>
  </si>
  <si>
    <t>Recurring revenue + SaaS + AI can drive a higher-quality growth mix and support margin expansion.</t>
  </si>
  <si>
    <t>Key Debate</t>
  </si>
  <si>
    <t>Can subscription/SaaS growth offset slower overall revenue growth?</t>
  </si>
  <si>
    <t>Investment Pitch</t>
  </si>
  <si>
    <t>Slide #</t>
  </si>
  <si>
    <t>Slide Title</t>
  </si>
  <si>
    <t>Key Message</t>
  </si>
  <si>
    <t>Supporting Data</t>
  </si>
  <si>
    <t>Visual</t>
  </si>
  <si>
    <t>Recurring revenue, SaaS growth and AI create a potential path to higher-quality growth</t>
  </si>
  <si>
    <t>FY22–FY26 Revenue CAGR: 19.23%; FY26 SaaS growth: 36%; Annuity: ₹968 Cr</t>
  </si>
  <si>
    <t>Company Overview</t>
  </si>
  <si>
    <t>Newgen provides enterprise workflow, content and automation software</t>
  </si>
  <si>
    <t>FY26 Revenue: ₹1,574 Cr; 101 customers &gt;₹5 Cr billing</t>
  </si>
  <si>
    <t>Industry Opportunity</t>
  </si>
  <si>
    <t>Digital transformation and enterprise software spending remain structural growth drivers</t>
  </si>
  <si>
    <t>India digital transformation market: $46.42bn → $99.37bn; 13.5% CAGR</t>
  </si>
  <si>
    <t>Growth Engine</t>
  </si>
  <si>
    <t>Subscription, SaaS and international expansion are reshaping the revenue mix</t>
  </si>
  <si>
    <t>Subscription: ₹525 Cr; Annuity: ₹968 Cr; US growth: 17%</t>
  </si>
  <si>
    <t>Financial Performance</t>
  </si>
  <si>
    <t>Revenue compounded strongly while EBITDA margins have recovered</t>
  </si>
  <si>
    <t>FY26 EBITDA: ₹405.8 Cr; EBITDA margin: 25.77%</t>
  </si>
  <si>
    <t>Newgen combines low-code, content, process automation and AI on one platform</t>
  </si>
  <si>
    <t>NewgenONE; Low-code; AI/ML; Content; Process Automation</t>
  </si>
  <si>
    <t>DCF and trading comps provide different valuation reference points</t>
  </si>
  <si>
    <t>DCF: ₹384; EV/EBITDA: ₹678; P/E: ₹682</t>
  </si>
  <si>
    <t>Catalysts</t>
  </si>
  <si>
    <t>SaaS growth, AI monetization and customer expansion are key potential catalysts</t>
  </si>
  <si>
    <t>SaaS +36%; Subscription +24%; US revenue +17%; 101 customers &gt;₹5 Cr</t>
  </si>
  <si>
    <t>Risks</t>
  </si>
  <si>
    <t>Slower headline growth and AI execution create important downside considerations</t>
  </si>
  <si>
    <t>FY26 revenue growth: 6%; DCF below market price; AI monetization risk</t>
  </si>
  <si>
    <t>Valuation Summary</t>
  </si>
  <si>
    <t>DCF, P/E and EV/EBITDA provide a range of valuation reference points</t>
  </si>
  <si>
    <t>DCF: ₹384 | EV/EBITDA: ₹678 | P/E: ₹682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</si>
</sst>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[$₹-4009]\ * #,##0.00_ ;_ [$₹-4009]\ * \-#,##0.00_ ;_ [$₹-4009]\ * &quot;-&quot;??_ ;_ @_ "/>
    <numFmt numFmtId="165" formatCode="0.00&quot;x&quot;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/>
    <xf numFmtId="10" fontId="1" fillId="0" borderId="5" xfId="0" applyNumberFormat="1" applyFont="1" applyBorder="1"/>
    <xf numFmtId="10" fontId="1" fillId="0" borderId="6" xfId="0" applyNumberFormat="1" applyFont="1" applyBorder="1"/>
    <xf numFmtId="0" fontId="3" fillId="0" borderId="7" xfId="0" applyFont="1" applyBorder="1"/>
    <xf numFmtId="0" fontId="1" fillId="0" borderId="8" xfId="0" applyFont="1" applyBorder="1"/>
    <xf numFmtId="10" fontId="1" fillId="0" borderId="8" xfId="0" applyNumberFormat="1" applyFont="1" applyBorder="1"/>
    <xf numFmtId="10" fontId="1" fillId="0" borderId="9" xfId="0" applyNumberFormat="1" applyFont="1" applyBorder="1"/>
    <xf numFmtId="2" fontId="1" fillId="0" borderId="5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1" fillId="0" borderId="6" xfId="0" applyNumberFormat="1" applyFont="1" applyBorder="1"/>
    <xf numFmtId="2" fontId="1" fillId="0" borderId="8" xfId="0" applyNumberFormat="1" applyFont="1" applyBorder="1"/>
    <xf numFmtId="2" fontId="1" fillId="0" borderId="9" xfId="0" applyNumberFormat="1" applyFont="1" applyBorder="1"/>
    <xf numFmtId="0" fontId="3" fillId="0" borderId="10" xfId="0" applyFont="1" applyBorder="1"/>
    <xf numFmtId="0" fontId="1" fillId="0" borderId="10" xfId="0" applyFont="1" applyBorder="1"/>
    <xf numFmtId="0" fontId="2" fillId="0" borderId="10" xfId="0" applyFont="1" applyBorder="1"/>
    <xf numFmtId="2" fontId="1" fillId="0" borderId="10" xfId="0" applyNumberFormat="1" applyFont="1" applyBorder="1"/>
    <xf numFmtId="10" fontId="1" fillId="0" borderId="10" xfId="0" applyNumberFormat="1" applyFont="1" applyBorder="1"/>
    <xf numFmtId="0" fontId="1" fillId="0" borderId="0" xfId="0" applyFont="1" applyAlignment="1">
      <alignment wrapText="1"/>
    </xf>
    <xf numFmtId="10" fontId="0" fillId="0" borderId="0" xfId="0" applyNumberFormat="1"/>
    <xf numFmtId="10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10" fontId="1" fillId="0" borderId="10" xfId="0" applyNumberFormat="1" applyFont="1" applyBorder="1" applyAlignment="1">
      <alignment wrapText="1"/>
    </xf>
    <xf numFmtId="0" fontId="3" fillId="0" borderId="10" xfId="0" applyFont="1" applyBorder="1" applyAlignment="1">
      <alignment wrapText="1"/>
    </xf>
    <xf numFmtId="164" fontId="0" fillId="0" borderId="10" xfId="0" applyNumberFormat="1" applyBorder="1"/>
    <xf numFmtId="43" fontId="0" fillId="0" borderId="10" xfId="0" applyNumberFormat="1" applyBorder="1"/>
    <xf numFmtId="43" fontId="1" fillId="0" borderId="10" xfId="0" applyNumberFormat="1" applyFont="1" applyBorder="1" applyAlignment="1">
      <alignment wrapText="1"/>
    </xf>
    <xf numFmtId="4" fontId="1" fillId="0" borderId="10" xfId="0" applyNumberFormat="1" applyFont="1" applyBorder="1" applyAlignment="1">
      <alignment wrapText="1"/>
    </xf>
    <xf numFmtId="165" fontId="1" fillId="0" borderId="10" xfId="0" applyNumberFormat="1" applyFont="1" applyBorder="1" applyAlignment="1">
      <alignment wrapText="1"/>
    </xf>
    <xf numFmtId="165" fontId="1" fillId="0" borderId="10" xfId="0" applyNumberFormat="1" applyFont="1" applyBorder="1"/>
    <xf numFmtId="0" fontId="1" fillId="0" borderId="10" xfId="0" applyFont="1" applyBorder="1" applyAlignment="1">
      <alignment wrapText="1"/>
    </xf>
    <xf numFmtId="165" fontId="0" fillId="0" borderId="10" xfId="0" applyNumberFormat="1" applyBorder="1"/>
    <xf numFmtId="2" fontId="1" fillId="0" borderId="10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3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10" fontId="1" fillId="0" borderId="6" xfId="0" quotePrefix="1" applyNumberFormat="1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0" xfId="0" applyFont="1" applyAlignment="1">
      <alignment horizontal="left" wrapText="1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B7" sqref="B7"/>
    </sheetView>
  </sheetViews>
  <sheetFormatPr defaultRowHeight="15"/>
  <cols>
    <col min="1" max="1" width="32.42578125" customWidth="1"/>
  </cols>
  <sheetData>
    <row r="1" spans="1:6">
      <c r="A1" s="1" t="s">
        <v>0</v>
      </c>
    </row>
    <row r="3" spans="1:6">
      <c r="A3" s="3" t="s">
        <v>1</v>
      </c>
      <c r="B3" s="2"/>
      <c r="C3" s="2"/>
      <c r="D3" s="2"/>
      <c r="E3" s="2"/>
      <c r="F3" s="2"/>
    </row>
    <row r="4" spans="1:6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</row>
    <row r="5" spans="1:6">
      <c r="A5" s="4" t="s">
        <v>8</v>
      </c>
      <c r="B5" s="16">
        <v>778.96</v>
      </c>
      <c r="C5" s="16">
        <v>973.98</v>
      </c>
      <c r="D5" s="16">
        <v>1243.83</v>
      </c>
      <c r="E5" s="16">
        <v>1486.88</v>
      </c>
      <c r="F5" s="17">
        <v>1574.4</v>
      </c>
    </row>
    <row r="6" spans="1:6">
      <c r="A6" s="7" t="s">
        <v>9</v>
      </c>
      <c r="B6" s="15">
        <v>29.91</v>
      </c>
      <c r="C6" s="15">
        <v>33.99</v>
      </c>
      <c r="D6" s="15">
        <v>48.06</v>
      </c>
      <c r="E6" s="15">
        <v>63.58</v>
      </c>
      <c r="F6" s="18">
        <v>67.010000000000005</v>
      </c>
    </row>
    <row r="7" spans="1:6">
      <c r="A7" s="7" t="s">
        <v>10</v>
      </c>
      <c r="B7" s="8" t="s">
        <v>11</v>
      </c>
      <c r="C7" s="9">
        <v>0.25040000000000001</v>
      </c>
      <c r="D7" s="9">
        <v>0.27710000000000001</v>
      </c>
      <c r="E7" s="9">
        <v>0.19539999999999999</v>
      </c>
      <c r="F7" s="10">
        <v>5.8900000000000001E-2</v>
      </c>
    </row>
    <row r="8" spans="1:6">
      <c r="A8" s="7" t="s">
        <v>12</v>
      </c>
      <c r="B8" s="15">
        <v>194.66</v>
      </c>
      <c r="C8" s="15">
        <v>212.21</v>
      </c>
      <c r="D8" s="15">
        <v>288.31</v>
      </c>
      <c r="E8" s="15">
        <v>376.21</v>
      </c>
      <c r="F8" s="18">
        <v>405.8</v>
      </c>
    </row>
    <row r="9" spans="1:6">
      <c r="A9" s="7" t="s">
        <v>13</v>
      </c>
      <c r="B9" s="9">
        <v>0.24990000000000001</v>
      </c>
      <c r="C9" s="9">
        <v>0.21790000000000001</v>
      </c>
      <c r="D9" s="9">
        <v>0.23180000000000001</v>
      </c>
      <c r="E9" s="9">
        <v>0.253</v>
      </c>
      <c r="F9" s="10">
        <v>0.25769999999999998</v>
      </c>
    </row>
    <row r="10" spans="1:6">
      <c r="A10" s="7" t="s">
        <v>14</v>
      </c>
      <c r="B10" s="15">
        <v>177.03</v>
      </c>
      <c r="C10" s="15">
        <v>187.54</v>
      </c>
      <c r="D10" s="15">
        <v>260.33999999999997</v>
      </c>
      <c r="E10" s="15">
        <v>343.17</v>
      </c>
      <c r="F10" s="18">
        <v>369.2</v>
      </c>
    </row>
    <row r="11" spans="1:6">
      <c r="A11" s="7" t="s">
        <v>15</v>
      </c>
      <c r="B11" s="9">
        <v>0.2273</v>
      </c>
      <c r="C11" s="9">
        <v>0.1925</v>
      </c>
      <c r="D11" s="9">
        <v>0.20930000000000001</v>
      </c>
      <c r="E11" s="9">
        <v>0.23080000000000001</v>
      </c>
      <c r="F11" s="10">
        <v>0.23449999999999999</v>
      </c>
    </row>
    <row r="12" spans="1:6">
      <c r="A12" s="7" t="s">
        <v>16</v>
      </c>
      <c r="B12" s="15">
        <v>164.21</v>
      </c>
      <c r="C12" s="15">
        <v>177.01</v>
      </c>
      <c r="D12" s="15">
        <v>251.61</v>
      </c>
      <c r="E12" s="15">
        <v>315.24</v>
      </c>
      <c r="F12" s="18">
        <v>300.58</v>
      </c>
    </row>
    <row r="13" spans="1:6">
      <c r="A13" s="7" t="s">
        <v>17</v>
      </c>
      <c r="B13" s="9">
        <v>0.21079999999999999</v>
      </c>
      <c r="C13" s="9">
        <v>0.1817</v>
      </c>
      <c r="D13" s="9">
        <v>0.20230000000000001</v>
      </c>
      <c r="E13" s="9">
        <v>0.21199999999999999</v>
      </c>
      <c r="F13" s="10">
        <v>0.19089999999999999</v>
      </c>
    </row>
    <row r="14" spans="1:6">
      <c r="A14" s="11" t="s">
        <v>18</v>
      </c>
      <c r="B14" s="19">
        <v>11.75</v>
      </c>
      <c r="C14" s="19">
        <v>12.5</v>
      </c>
      <c r="D14" s="19">
        <v>17.5</v>
      </c>
      <c r="E14" s="19">
        <v>21.89</v>
      </c>
      <c r="F14" s="20">
        <v>21.24</v>
      </c>
    </row>
    <row r="16" spans="1:6">
      <c r="A16" s="1" t="s">
        <v>19</v>
      </c>
    </row>
    <row r="17" spans="1:6">
      <c r="A17" s="4" t="s">
        <v>2</v>
      </c>
      <c r="B17" s="5" t="s">
        <v>3</v>
      </c>
      <c r="C17" s="5" t="s">
        <v>4</v>
      </c>
      <c r="D17" s="5" t="s">
        <v>5</v>
      </c>
      <c r="E17" s="5" t="s">
        <v>6</v>
      </c>
      <c r="F17" s="6" t="s">
        <v>7</v>
      </c>
    </row>
    <row r="18" spans="1:6">
      <c r="A18" s="4" t="s">
        <v>20</v>
      </c>
      <c r="B18" s="16">
        <v>142.77000000000001</v>
      </c>
      <c r="C18" s="16">
        <v>136.35</v>
      </c>
      <c r="D18" s="16">
        <v>281.41000000000003</v>
      </c>
      <c r="E18" s="16">
        <v>214.98</v>
      </c>
      <c r="F18" s="17">
        <v>231.86</v>
      </c>
    </row>
    <row r="19" spans="1:6">
      <c r="A19" s="7" t="s">
        <v>21</v>
      </c>
      <c r="B19" s="15">
        <v>12.69</v>
      </c>
      <c r="C19" s="15">
        <v>16.77</v>
      </c>
      <c r="D19" s="15">
        <v>13.81</v>
      </c>
      <c r="E19" s="15">
        <v>23.35</v>
      </c>
      <c r="F19" s="18">
        <v>9.75</v>
      </c>
    </row>
    <row r="20" spans="1:6">
      <c r="A20" s="7" t="s">
        <v>22</v>
      </c>
      <c r="B20" s="15">
        <v>130.08000000000001</v>
      </c>
      <c r="C20" s="15">
        <v>119.58</v>
      </c>
      <c r="D20" s="15">
        <v>267.60000000000002</v>
      </c>
      <c r="E20" s="15">
        <v>191.63</v>
      </c>
      <c r="F20" s="18">
        <v>222.11</v>
      </c>
    </row>
    <row r="21" spans="1:6">
      <c r="A21" s="11" t="s">
        <v>23</v>
      </c>
      <c r="B21" s="13">
        <v>0.16700000000000001</v>
      </c>
      <c r="C21" s="13">
        <v>0.12280000000000001</v>
      </c>
      <c r="D21" s="13">
        <v>0.21510000000000001</v>
      </c>
      <c r="E21" s="13">
        <v>0.12889999999999999</v>
      </c>
      <c r="F21" s="14">
        <v>0.1411</v>
      </c>
    </row>
    <row r="23" spans="1:6">
      <c r="A23" s="1" t="s">
        <v>24</v>
      </c>
    </row>
    <row r="24" spans="1:6">
      <c r="A24" s="21" t="s">
        <v>25</v>
      </c>
      <c r="B24" s="21" t="s">
        <v>3</v>
      </c>
      <c r="C24" s="21" t="s">
        <v>4</v>
      </c>
      <c r="D24" s="21" t="s">
        <v>5</v>
      </c>
      <c r="E24" s="21" t="s">
        <v>6</v>
      </c>
      <c r="F24" s="21" t="s">
        <v>7</v>
      </c>
    </row>
    <row r="25" spans="1:6">
      <c r="A25" s="21" t="s">
        <v>26</v>
      </c>
      <c r="B25" s="24">
        <v>246.1</v>
      </c>
      <c r="C25" s="24">
        <v>322.7</v>
      </c>
      <c r="D25" s="24">
        <v>373.15</v>
      </c>
      <c r="E25" s="24">
        <v>431.2</v>
      </c>
      <c r="F25" s="24">
        <v>525</v>
      </c>
    </row>
    <row r="26" spans="1:6">
      <c r="A26" s="21" t="s">
        <v>27</v>
      </c>
      <c r="B26" s="24">
        <v>61.8</v>
      </c>
      <c r="C26" s="24">
        <v>100</v>
      </c>
      <c r="D26" s="24">
        <v>124.38</v>
      </c>
      <c r="E26" s="24">
        <v>148.69</v>
      </c>
      <c r="F26" s="24">
        <v>202.22</v>
      </c>
    </row>
    <row r="27" spans="1:6">
      <c r="A27" s="21" t="s">
        <v>28</v>
      </c>
      <c r="B27" s="24">
        <v>456.5</v>
      </c>
      <c r="C27" s="24">
        <v>594.5</v>
      </c>
      <c r="D27" s="24">
        <v>749.8</v>
      </c>
      <c r="E27" s="24">
        <v>833.75</v>
      </c>
      <c r="F27" s="24">
        <v>968</v>
      </c>
    </row>
    <row r="28" spans="1:6">
      <c r="A28" s="23" t="s">
        <v>29</v>
      </c>
      <c r="B28" s="25">
        <f>B25/B5</f>
        <v>0.31593406593406592</v>
      </c>
      <c r="C28" s="25">
        <f>C25/C5</f>
        <v>0.33132097168319674</v>
      </c>
      <c r="D28" s="25">
        <f>D25/D5</f>
        <v>0.30000080396838796</v>
      </c>
      <c r="E28" s="25">
        <f>E25/E5</f>
        <v>0.29000322823630686</v>
      </c>
      <c r="F28" s="25">
        <f>F25/F5</f>
        <v>0.33346036585365851</v>
      </c>
    </row>
    <row r="29" spans="1:6">
      <c r="A29" s="23" t="s">
        <v>30</v>
      </c>
      <c r="B29" s="25">
        <f>B27/B5</f>
        <v>0.58603779398171918</v>
      </c>
      <c r="C29" s="25">
        <f>C27/C5</f>
        <v>0.61038214337050045</v>
      </c>
      <c r="D29" s="25">
        <f>D27/D5</f>
        <v>0.60281549729464634</v>
      </c>
      <c r="E29" s="25">
        <f>E27/E5</f>
        <v>0.56073792101581832</v>
      </c>
      <c r="F29" s="25">
        <f>F27/F5</f>
        <v>0.61483739837398366</v>
      </c>
    </row>
    <row r="30" spans="1:6">
      <c r="A30" s="21" t="s">
        <v>31</v>
      </c>
      <c r="B30" s="22">
        <v>38</v>
      </c>
      <c r="C30" s="22">
        <v>47</v>
      </c>
      <c r="D30" s="22">
        <v>51</v>
      </c>
      <c r="E30" s="22">
        <v>62</v>
      </c>
      <c r="F30" s="22">
        <v>47</v>
      </c>
    </row>
    <row r="31" spans="1:6">
      <c r="A31" s="21" t="s">
        <v>32</v>
      </c>
      <c r="B31" s="22">
        <v>38</v>
      </c>
      <c r="C31" s="22">
        <v>51</v>
      </c>
      <c r="D31" s="22">
        <v>65</v>
      </c>
      <c r="E31" s="22">
        <v>87</v>
      </c>
      <c r="F31" s="22">
        <v>101</v>
      </c>
    </row>
    <row r="33" spans="1:6">
      <c r="A33" s="1" t="s">
        <v>33</v>
      </c>
    </row>
    <row r="34" spans="1:6">
      <c r="A34" s="4" t="s">
        <v>34</v>
      </c>
      <c r="B34" s="5" t="s">
        <v>3</v>
      </c>
      <c r="C34" s="5" t="s">
        <v>4</v>
      </c>
      <c r="D34" s="5" t="s">
        <v>5</v>
      </c>
      <c r="E34" s="5" t="s">
        <v>6</v>
      </c>
      <c r="F34" s="6" t="s">
        <v>7</v>
      </c>
    </row>
    <row r="35" spans="1:6">
      <c r="A35" s="7" t="s">
        <v>35</v>
      </c>
      <c r="B35" s="8" t="s">
        <v>11</v>
      </c>
      <c r="C35" s="9">
        <f>C25/B25-1</f>
        <v>0.31125558715969115</v>
      </c>
      <c r="D35" s="9">
        <f>D25/C25-1</f>
        <v>0.15633715525255654</v>
      </c>
      <c r="E35" s="9">
        <f>E25/D25-1</f>
        <v>0.15556746616642103</v>
      </c>
      <c r="F35" s="9">
        <f>F25/E25-1</f>
        <v>0.21753246753246747</v>
      </c>
    </row>
    <row r="36" spans="1:6">
      <c r="A36" s="7" t="s">
        <v>36</v>
      </c>
      <c r="B36" s="8" t="s">
        <v>11</v>
      </c>
      <c r="C36" s="9">
        <f>C27/B27-1</f>
        <v>0.3023001095290252</v>
      </c>
      <c r="D36" s="9">
        <f>D27/C27-1</f>
        <v>0.2612279226240537</v>
      </c>
      <c r="E36" s="9">
        <f>E27/D27-1</f>
        <v>0.11196319018404921</v>
      </c>
      <c r="F36" s="9">
        <f>F27/E27-1</f>
        <v>0.1610194902548725</v>
      </c>
    </row>
    <row r="37" spans="1:6">
      <c r="A37" s="11" t="s">
        <v>37</v>
      </c>
      <c r="B37" s="12" t="s">
        <v>11</v>
      </c>
      <c r="C37" s="13">
        <f>C31/B31-1</f>
        <v>0.34210526315789469</v>
      </c>
      <c r="D37" s="13">
        <f>D31/C31-1</f>
        <v>0.27450980392156854</v>
      </c>
      <c r="E37" s="13">
        <f>E31/D31-1</f>
        <v>0.33846153846153837</v>
      </c>
      <c r="F37" s="13">
        <f>F31/E31-1</f>
        <v>0.16091954022988508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D7DA-3F71-4775-B112-AFB9D93A427F}">
  <dimension ref="A1:G49"/>
  <sheetViews>
    <sheetView workbookViewId="0">
      <selection activeCell="B47" sqref="B47"/>
    </sheetView>
  </sheetViews>
  <sheetFormatPr defaultRowHeight="15"/>
  <cols>
    <col min="1" max="1" width="28.42578125" customWidth="1"/>
    <col min="2" max="2" width="9.7109375" bestFit="1" customWidth="1"/>
  </cols>
  <sheetData>
    <row r="1" spans="1:7">
      <c r="A1" s="1" t="s">
        <v>38</v>
      </c>
    </row>
    <row r="3" spans="1:7">
      <c r="A3" s="21" t="s">
        <v>34</v>
      </c>
      <c r="B3" s="21" t="s">
        <v>39</v>
      </c>
      <c r="C3" s="21" t="s">
        <v>40</v>
      </c>
      <c r="D3" s="21" t="s">
        <v>41</v>
      </c>
      <c r="E3" s="21" t="s">
        <v>42</v>
      </c>
      <c r="F3" s="21" t="s">
        <v>43</v>
      </c>
    </row>
    <row r="4" spans="1:7">
      <c r="A4" s="32" t="s">
        <v>44</v>
      </c>
      <c r="B4" s="28">
        <v>0.12</v>
      </c>
      <c r="C4" s="28">
        <v>0.1</v>
      </c>
      <c r="D4" s="28">
        <v>0.09</v>
      </c>
      <c r="E4" s="28">
        <v>0.08</v>
      </c>
      <c r="F4" s="28">
        <v>7.0000000000000007E-2</v>
      </c>
    </row>
    <row r="5" spans="1:7">
      <c r="A5" s="23" t="s">
        <v>8</v>
      </c>
      <c r="B5" s="30">
        <f>Financials!F5*(1+B4)</f>
        <v>1763.3280000000002</v>
      </c>
      <c r="C5" s="30">
        <f>B5*(1+C4)</f>
        <v>1939.6608000000003</v>
      </c>
      <c r="D5" s="30">
        <f>C5*(1+D4)</f>
        <v>2114.2302720000007</v>
      </c>
      <c r="E5" s="30">
        <f>D5*(1+E4)</f>
        <v>2283.368693760001</v>
      </c>
      <c r="F5" s="30">
        <f>E5*(1+F4)</f>
        <v>2443.2045023232013</v>
      </c>
    </row>
    <row r="6" spans="1:7">
      <c r="A6" s="23" t="s">
        <v>13</v>
      </c>
      <c r="B6" s="31">
        <v>0.27</v>
      </c>
      <c r="C6" s="31">
        <v>0.28000000000000003</v>
      </c>
      <c r="D6" s="31">
        <v>0.28999999999999998</v>
      </c>
      <c r="E6" s="31">
        <v>0.3</v>
      </c>
      <c r="F6" s="31">
        <v>0.30499999999999999</v>
      </c>
    </row>
    <row r="7" spans="1:7">
      <c r="A7" s="32" t="s">
        <v>12</v>
      </c>
      <c r="B7" s="30">
        <f>B5*B6</f>
        <v>476.09856000000008</v>
      </c>
      <c r="C7" s="30">
        <f>C5*C6</f>
        <v>543.10502400000018</v>
      </c>
      <c r="D7" s="30">
        <f>D5*D6</f>
        <v>613.12677888000019</v>
      </c>
      <c r="E7" s="30">
        <f>E5*E6</f>
        <v>685.01060812800029</v>
      </c>
      <c r="F7" s="30">
        <f>F5*F6</f>
        <v>745.17737320857634</v>
      </c>
    </row>
    <row r="8" spans="1:7">
      <c r="A8" s="32" t="s">
        <v>45</v>
      </c>
      <c r="B8" s="28">
        <v>2.5000000000000001E-2</v>
      </c>
      <c r="C8" s="28">
        <v>2.5000000000000001E-2</v>
      </c>
      <c r="D8" s="28">
        <v>2.5000000000000001E-2</v>
      </c>
      <c r="E8" s="28">
        <v>2.5000000000000001E-2</v>
      </c>
      <c r="F8" s="28">
        <v>2.5000000000000001E-2</v>
      </c>
    </row>
    <row r="9" spans="1:7">
      <c r="A9" s="32" t="s">
        <v>14</v>
      </c>
      <c r="B9" s="30">
        <f>B7-(B5*B8)</f>
        <v>432.0153600000001</v>
      </c>
      <c r="C9" s="30">
        <f t="shared" ref="C9:F9" si="0">C7-(C5*C8)</f>
        <v>494.61350400000015</v>
      </c>
      <c r="D9" s="30">
        <f t="shared" si="0"/>
        <v>560.27102208000019</v>
      </c>
      <c r="E9" s="30">
        <f t="shared" si="0"/>
        <v>627.9263907840002</v>
      </c>
      <c r="F9" s="30">
        <f t="shared" si="0"/>
        <v>684.09726065049631</v>
      </c>
    </row>
    <row r="10" spans="1:7">
      <c r="A10" s="32" t="s">
        <v>46</v>
      </c>
      <c r="B10" s="28">
        <v>0.25</v>
      </c>
      <c r="C10" s="28">
        <v>0.25</v>
      </c>
      <c r="D10" s="28">
        <v>0.25</v>
      </c>
      <c r="E10" s="28">
        <v>0.25</v>
      </c>
      <c r="F10" s="28">
        <v>0.25</v>
      </c>
    </row>
    <row r="11" spans="1:7">
      <c r="A11" s="23" t="s">
        <v>47</v>
      </c>
      <c r="B11" s="30">
        <f>B9*B10</f>
        <v>108.00384000000003</v>
      </c>
      <c r="C11" s="30">
        <f t="shared" ref="C11:F11" si="1">C9*C10</f>
        <v>123.65337600000004</v>
      </c>
      <c r="D11" s="30">
        <f t="shared" si="1"/>
        <v>140.06775552000005</v>
      </c>
      <c r="E11" s="30">
        <f t="shared" si="1"/>
        <v>156.98159769600005</v>
      </c>
      <c r="F11" s="30">
        <f t="shared" si="1"/>
        <v>171.02431516262408</v>
      </c>
    </row>
    <row r="12" spans="1:7">
      <c r="A12" s="23" t="s">
        <v>48</v>
      </c>
      <c r="B12" s="30">
        <f>B9-B11</f>
        <v>324.01152000000008</v>
      </c>
      <c r="C12" s="30">
        <f t="shared" ref="C12:F12" si="2">C9-C11</f>
        <v>370.96012800000011</v>
      </c>
      <c r="D12" s="30">
        <f t="shared" si="2"/>
        <v>420.20326656000015</v>
      </c>
      <c r="E12" s="30">
        <f t="shared" si="2"/>
        <v>470.94479308800015</v>
      </c>
      <c r="F12" s="30">
        <f t="shared" si="2"/>
        <v>513.07294548787218</v>
      </c>
    </row>
    <row r="14" spans="1:7">
      <c r="A14" s="32" t="s">
        <v>49</v>
      </c>
      <c r="B14" s="28">
        <v>1.4999999999999999E-2</v>
      </c>
      <c r="C14" s="28">
        <v>1.4999999999999999E-2</v>
      </c>
      <c r="D14" s="28">
        <v>1.4999999999999999E-2</v>
      </c>
      <c r="E14" s="28">
        <v>1.4999999999999999E-2</v>
      </c>
      <c r="F14" s="28">
        <v>1.4999999999999999E-2</v>
      </c>
      <c r="G14" s="27"/>
    </row>
    <row r="15" spans="1:7">
      <c r="A15" s="23" t="s">
        <v>21</v>
      </c>
      <c r="B15" s="30">
        <f>B5*B14</f>
        <v>26.449920000000002</v>
      </c>
      <c r="C15" s="30">
        <f t="shared" ref="C15:F15" si="3">C5*C14</f>
        <v>29.094912000000004</v>
      </c>
      <c r="D15" s="30">
        <f t="shared" si="3"/>
        <v>31.713454080000009</v>
      </c>
      <c r="E15" s="30">
        <f t="shared" si="3"/>
        <v>34.25053040640001</v>
      </c>
      <c r="F15" s="30">
        <f t="shared" si="3"/>
        <v>36.648067534848018</v>
      </c>
    </row>
    <row r="16" spans="1:7">
      <c r="A16" s="1"/>
    </row>
    <row r="17" spans="1:6">
      <c r="A17" s="32" t="s">
        <v>50</v>
      </c>
      <c r="B17" s="28">
        <v>0.02</v>
      </c>
      <c r="C17" s="28">
        <v>0.02</v>
      </c>
      <c r="D17" s="28">
        <v>0.02</v>
      </c>
      <c r="E17" s="28">
        <v>0.02</v>
      </c>
      <c r="F17" s="28">
        <v>0.02</v>
      </c>
    </row>
    <row r="18" spans="1:6">
      <c r="A18" s="32" t="s">
        <v>51</v>
      </c>
      <c r="B18" s="30">
        <f>B5*B17</f>
        <v>35.266560000000005</v>
      </c>
      <c r="C18" s="30">
        <f t="shared" ref="C18:G18" si="4">C5*C17</f>
        <v>38.793216000000008</v>
      </c>
      <c r="D18" s="30">
        <f t="shared" si="4"/>
        <v>42.284605440000014</v>
      </c>
      <c r="E18" s="30">
        <f t="shared" si="4"/>
        <v>45.66737387520002</v>
      </c>
      <c r="F18" s="30">
        <f t="shared" si="4"/>
        <v>48.864090046464028</v>
      </c>
    </row>
    <row r="19" spans="1:6">
      <c r="A19" s="1"/>
    </row>
    <row r="20" spans="1:6">
      <c r="A20" s="32" t="s">
        <v>52</v>
      </c>
      <c r="B20" s="30">
        <f>B12+(B5*B8)-B15-B18</f>
        <v>306.37824000000001</v>
      </c>
      <c r="C20" s="30">
        <f t="shared" ref="C20:F20" si="5">C12+(C5*C8)-C15-C18</f>
        <v>351.56352000000004</v>
      </c>
      <c r="D20" s="30">
        <f t="shared" si="5"/>
        <v>399.06096384000017</v>
      </c>
      <c r="E20" s="30">
        <f t="shared" si="5"/>
        <v>448.11110615040013</v>
      </c>
      <c r="F20" s="30">
        <f t="shared" si="5"/>
        <v>488.6409004646402</v>
      </c>
    </row>
    <row r="22" spans="1:6">
      <c r="A22" s="32" t="s">
        <v>53</v>
      </c>
      <c r="B22" s="29"/>
    </row>
    <row r="23" spans="1:6">
      <c r="A23" s="32" t="s">
        <v>54</v>
      </c>
      <c r="B23" s="28">
        <v>7.0699999999999999E-2</v>
      </c>
    </row>
    <row r="24" spans="1:6">
      <c r="A24" s="32" t="s">
        <v>55</v>
      </c>
      <c r="B24" s="30">
        <v>1</v>
      </c>
    </row>
    <row r="25" spans="1:6">
      <c r="A25" s="32" t="s">
        <v>56</v>
      </c>
      <c r="B25" s="28">
        <v>6.5000000000000002E-2</v>
      </c>
    </row>
    <row r="26" spans="1:6">
      <c r="A26" s="32" t="s">
        <v>57</v>
      </c>
      <c r="B26" s="28">
        <f>B23+B24*B25</f>
        <v>0.13569999999999999</v>
      </c>
    </row>
    <row r="27" spans="1:6">
      <c r="A27" s="32" t="s">
        <v>58</v>
      </c>
      <c r="B27" s="31">
        <v>0</v>
      </c>
    </row>
    <row r="28" spans="1:6">
      <c r="A28" s="32" t="s">
        <v>59</v>
      </c>
      <c r="B28" s="31">
        <v>0</v>
      </c>
    </row>
    <row r="29" spans="1:6">
      <c r="A29" s="32" t="s">
        <v>60</v>
      </c>
      <c r="B29" s="31">
        <v>1</v>
      </c>
    </row>
    <row r="30" spans="1:6">
      <c r="A30" s="32" t="s">
        <v>61</v>
      </c>
      <c r="B30" s="28">
        <f>B26*B29+B27*B28</f>
        <v>0.13569999999999999</v>
      </c>
    </row>
    <row r="32" spans="1:6">
      <c r="A32" s="32" t="s">
        <v>62</v>
      </c>
      <c r="B32" s="28">
        <v>4.4999999999999998E-2</v>
      </c>
    </row>
    <row r="34" spans="1:6">
      <c r="A34" s="32" t="s">
        <v>63</v>
      </c>
      <c r="B34" s="30">
        <f>B20/(1+$B$30)^1</f>
        <v>269.77039711191338</v>
      </c>
      <c r="C34" s="30">
        <f>C20/(1+$B$30)^2</f>
        <v>272.56905758594792</v>
      </c>
      <c r="D34" s="30">
        <f>D20/(1+$B$30)^3</f>
        <v>272.42588461663433</v>
      </c>
      <c r="E34" s="30">
        <f>E20/(1+$B$30)^4</f>
        <v>269.35882234778046</v>
      </c>
      <c r="F34" s="30">
        <f>F20/(1+$B$30)^5</f>
        <v>258.62570454283656</v>
      </c>
    </row>
    <row r="36" spans="1:6">
      <c r="A36" s="32" t="s">
        <v>64</v>
      </c>
      <c r="B36" s="29"/>
      <c r="C36" s="29"/>
      <c r="D36" s="29"/>
      <c r="E36" s="29"/>
      <c r="F36" s="30">
        <f>F20*(1+$B$32)/($B$30-$B$32)</f>
        <v>5629.8758653313007</v>
      </c>
    </row>
    <row r="37" spans="1:6">
      <c r="A37" s="32" t="s">
        <v>65</v>
      </c>
      <c r="B37" s="29"/>
      <c r="C37" s="29"/>
      <c r="D37" s="29"/>
      <c r="E37" s="29"/>
      <c r="F37" s="30">
        <f>F36/(1+$B$30)^5</f>
        <v>2979.7559123182382</v>
      </c>
    </row>
    <row r="39" spans="1:6">
      <c r="A39" s="32" t="s">
        <v>66</v>
      </c>
      <c r="B39" s="30">
        <f>SUM(B34:F34)+F37</f>
        <v>4322.5057785233512</v>
      </c>
    </row>
    <row r="41" spans="1:6">
      <c r="A41" s="32" t="s">
        <v>67</v>
      </c>
      <c r="B41" s="30">
        <f>103.53+307.99+703.08</f>
        <v>1114.5999999999999</v>
      </c>
    </row>
    <row r="42" spans="1:6">
      <c r="A42" s="32" t="s">
        <v>68</v>
      </c>
      <c r="B42" s="30">
        <v>0</v>
      </c>
    </row>
    <row r="43" spans="1:6">
      <c r="A43" s="32" t="s">
        <v>69</v>
      </c>
      <c r="B43" s="30">
        <f>B41-B42</f>
        <v>1114.5999999999999</v>
      </c>
    </row>
    <row r="44" spans="1:6">
      <c r="A44" s="32" t="s">
        <v>70</v>
      </c>
      <c r="B44" s="30">
        <f>B39+B43</f>
        <v>5437.1057785233515</v>
      </c>
    </row>
    <row r="46" spans="1:6">
      <c r="A46" s="32" t="s">
        <v>71</v>
      </c>
      <c r="B46" s="30">
        <f>Financials!F12/Financials!F14</f>
        <v>14.15160075329567</v>
      </c>
    </row>
    <row r="47" spans="1:6">
      <c r="A47" s="32" t="s">
        <v>72</v>
      </c>
      <c r="B47" s="33">
        <f>B44/B46</f>
        <v>384.20429415076177</v>
      </c>
    </row>
    <row r="48" spans="1:6">
      <c r="A48" s="32" t="s">
        <v>73</v>
      </c>
      <c r="B48" s="30">
        <v>486.6</v>
      </c>
    </row>
    <row r="49" spans="1:2">
      <c r="A49" s="32" t="s">
        <v>74</v>
      </c>
      <c r="B49" s="28">
        <f>B47/B48-1</f>
        <v>-0.21043096146575879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6C58-FCEE-4FB5-A27E-58E5AD858A0A}">
  <dimension ref="A1:H19"/>
  <sheetViews>
    <sheetView workbookViewId="0">
      <selection activeCell="D21" sqref="D21"/>
    </sheetView>
  </sheetViews>
  <sheetFormatPr defaultRowHeight="15"/>
  <cols>
    <col min="1" max="1" width="24.28515625" customWidth="1"/>
    <col min="2" max="2" width="14.28515625" customWidth="1"/>
    <col min="3" max="3" width="18.85546875" customWidth="1"/>
    <col min="4" max="4" width="24.140625" customWidth="1"/>
    <col min="5" max="5" width="16.42578125" customWidth="1"/>
    <col min="6" max="6" width="14.5703125" customWidth="1"/>
    <col min="8" max="8" width="11.85546875" customWidth="1"/>
  </cols>
  <sheetData>
    <row r="1" spans="1:8">
      <c r="A1" s="1" t="s">
        <v>75</v>
      </c>
    </row>
    <row r="3" spans="1:8">
      <c r="A3" s="32" t="s">
        <v>76</v>
      </c>
      <c r="B3" s="32" t="s">
        <v>77</v>
      </c>
      <c r="C3" s="32" t="s">
        <v>78</v>
      </c>
      <c r="D3" s="32" t="s">
        <v>79</v>
      </c>
      <c r="E3" s="32" t="s">
        <v>80</v>
      </c>
      <c r="F3" s="32" t="s">
        <v>81</v>
      </c>
      <c r="G3" s="32" t="s">
        <v>82</v>
      </c>
      <c r="H3" s="32" t="s">
        <v>83</v>
      </c>
    </row>
    <row r="4" spans="1:8">
      <c r="A4" s="32" t="s">
        <v>84</v>
      </c>
      <c r="B4" s="34">
        <f>DCF!B48</f>
        <v>486.6</v>
      </c>
      <c r="C4" s="34">
        <f>486.6*14.15</f>
        <v>6885.39</v>
      </c>
      <c r="D4" s="34">
        <v>5785</v>
      </c>
      <c r="E4" s="34">
        <f>Financials!F5</f>
        <v>1574.4</v>
      </c>
      <c r="F4" s="34">
        <f>Financials!F8</f>
        <v>405.8</v>
      </c>
      <c r="G4" s="38">
        <f>21.83</f>
        <v>21.83</v>
      </c>
      <c r="H4" s="38">
        <f>13.72</f>
        <v>13.72</v>
      </c>
    </row>
    <row r="5" spans="1:8">
      <c r="A5" s="32" t="s">
        <v>85</v>
      </c>
      <c r="B5" s="35">
        <v>5266.5</v>
      </c>
      <c r="C5" s="36">
        <v>78759.199999999997</v>
      </c>
      <c r="D5" s="36">
        <v>77391.199999999997</v>
      </c>
      <c r="E5" s="36">
        <v>15718.1</v>
      </c>
      <c r="F5" s="35">
        <v>2957.05</v>
      </c>
      <c r="G5" s="37">
        <v>43.2</v>
      </c>
      <c r="H5" s="37">
        <v>26.17</v>
      </c>
    </row>
    <row r="6" spans="1:8">
      <c r="A6" s="32" t="s">
        <v>86</v>
      </c>
      <c r="B6" s="35">
        <v>1782</v>
      </c>
      <c r="C6" s="36">
        <v>78956.399999999994</v>
      </c>
      <c r="D6" s="36">
        <v>78728</v>
      </c>
      <c r="E6" s="36">
        <v>18226</v>
      </c>
      <c r="F6" s="35">
        <v>3598.17</v>
      </c>
      <c r="G6" s="37">
        <v>36.51</v>
      </c>
      <c r="H6" s="37">
        <v>21.88</v>
      </c>
    </row>
    <row r="7" spans="1:8">
      <c r="A7" s="32" t="s">
        <v>87</v>
      </c>
      <c r="B7" s="35">
        <v>2237.1999999999998</v>
      </c>
      <c r="C7" s="36">
        <v>42967.5</v>
      </c>
      <c r="D7" s="36">
        <v>42406.400000000001</v>
      </c>
      <c r="E7" s="36">
        <v>16531.2</v>
      </c>
      <c r="F7" s="35">
        <v>3033.93</v>
      </c>
      <c r="G7" s="37">
        <v>22.49</v>
      </c>
      <c r="H7" s="37">
        <v>13.98</v>
      </c>
    </row>
    <row r="8" spans="1:8">
      <c r="A8" s="32" t="s">
        <v>88</v>
      </c>
      <c r="B8" s="35">
        <v>10905</v>
      </c>
      <c r="C8" s="36">
        <v>94468.2</v>
      </c>
      <c r="D8" s="36">
        <v>89734.1</v>
      </c>
      <c r="E8" s="35">
        <v>8945.1</v>
      </c>
      <c r="F8" s="35">
        <v>4507.08</v>
      </c>
      <c r="G8" s="37">
        <v>27.68</v>
      </c>
      <c r="H8" s="37">
        <v>19.91</v>
      </c>
    </row>
    <row r="10" spans="1:8">
      <c r="A10" s="32" t="s">
        <v>89</v>
      </c>
      <c r="B10" s="29"/>
      <c r="C10" s="29"/>
      <c r="D10" s="29"/>
      <c r="E10" s="29"/>
      <c r="F10" s="29"/>
      <c r="G10" s="40">
        <f>MEDIAN(G5:G8)</f>
        <v>32.094999999999999</v>
      </c>
      <c r="H10" s="40">
        <f>MEDIAN(H5:H8)</f>
        <v>20.895</v>
      </c>
    </row>
    <row r="12" spans="1:8">
      <c r="A12" s="32" t="s">
        <v>90</v>
      </c>
      <c r="B12" s="29"/>
      <c r="D12" s="32" t="s">
        <v>91</v>
      </c>
      <c r="E12" s="29"/>
    </row>
    <row r="13" spans="1:8">
      <c r="A13" s="32" t="s">
        <v>92</v>
      </c>
      <c r="B13" s="40">
        <f>H10</f>
        <v>20.895</v>
      </c>
      <c r="D13" s="32" t="s">
        <v>93</v>
      </c>
      <c r="E13" s="40">
        <f>G10</f>
        <v>32.094999999999999</v>
      </c>
    </row>
    <row r="14" spans="1:8">
      <c r="A14" s="32" t="s">
        <v>94</v>
      </c>
      <c r="B14" s="30">
        <f>Financials!F8</f>
        <v>405.8</v>
      </c>
      <c r="D14" s="32" t="s">
        <v>95</v>
      </c>
      <c r="E14" s="30">
        <f>Financials!F12</f>
        <v>300.58</v>
      </c>
    </row>
    <row r="15" spans="1:8">
      <c r="A15" s="32" t="s">
        <v>96</v>
      </c>
      <c r="B15" s="30">
        <f>B13*B14</f>
        <v>8479.1910000000007</v>
      </c>
      <c r="D15" s="32" t="s">
        <v>97</v>
      </c>
      <c r="E15" s="30">
        <f>E13*E14</f>
        <v>9647.1150999999991</v>
      </c>
    </row>
    <row r="16" spans="1:8">
      <c r="A16" s="32" t="s">
        <v>69</v>
      </c>
      <c r="B16" s="30">
        <f>DCF!B43</f>
        <v>1114.5999999999999</v>
      </c>
      <c r="D16" s="32" t="s">
        <v>71</v>
      </c>
      <c r="E16" s="30">
        <f>DCF!B46</f>
        <v>14.15160075329567</v>
      </c>
    </row>
    <row r="17" spans="1:5">
      <c r="A17" s="32" t="s">
        <v>97</v>
      </c>
      <c r="B17" s="30">
        <f>B15+B16</f>
        <v>9593.7910000000011</v>
      </c>
      <c r="D17" s="32" t="s">
        <v>72</v>
      </c>
      <c r="E17" s="30">
        <f>E15/E16</f>
        <v>681.69779999999992</v>
      </c>
    </row>
    <row r="18" spans="1:5">
      <c r="A18" s="32" t="s">
        <v>71</v>
      </c>
      <c r="B18" s="30">
        <f>DCF!B46</f>
        <v>14.15160075329567</v>
      </c>
    </row>
    <row r="19" spans="1:5">
      <c r="A19" s="32" t="s">
        <v>72</v>
      </c>
      <c r="B19" s="33">
        <f>B17/B18</f>
        <v>677.92973863863199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9B04-C17F-4EE3-9EE0-56E3E168A0BD}">
  <dimension ref="A1:D34"/>
  <sheetViews>
    <sheetView workbookViewId="0">
      <selection activeCell="E32" sqref="E32"/>
    </sheetView>
  </sheetViews>
  <sheetFormatPr defaultRowHeight="15"/>
  <cols>
    <col min="1" max="1" width="33" customWidth="1"/>
    <col min="3" max="3" width="13.140625" customWidth="1"/>
  </cols>
  <sheetData>
    <row r="1" spans="1:3">
      <c r="A1" s="42" t="s">
        <v>98</v>
      </c>
    </row>
    <row r="3" spans="1:3">
      <c r="A3" s="42" t="s">
        <v>99</v>
      </c>
    </row>
    <row r="4" spans="1:3">
      <c r="A4" s="39" t="s">
        <v>100</v>
      </c>
      <c r="B4" s="41">
        <v>46.42</v>
      </c>
      <c r="C4" s="39" t="s">
        <v>101</v>
      </c>
    </row>
    <row r="5" spans="1:3">
      <c r="A5" s="39" t="s">
        <v>100</v>
      </c>
      <c r="B5" s="41">
        <v>99.37</v>
      </c>
      <c r="C5" s="39" t="s">
        <v>102</v>
      </c>
    </row>
    <row r="6" spans="1:3">
      <c r="A6" s="39" t="s">
        <v>103</v>
      </c>
      <c r="B6" s="31">
        <v>0.13500000000000001</v>
      </c>
      <c r="C6" s="39" t="s">
        <v>104</v>
      </c>
    </row>
    <row r="7" spans="1:3">
      <c r="A7" s="39" t="s">
        <v>105</v>
      </c>
      <c r="B7" s="41">
        <v>24.7</v>
      </c>
      <c r="C7" s="39" t="s">
        <v>106</v>
      </c>
    </row>
    <row r="8" spans="1:3">
      <c r="A8" s="39" t="s">
        <v>107</v>
      </c>
      <c r="B8" s="31">
        <v>0.17599999999999999</v>
      </c>
      <c r="C8" s="22" t="s">
        <v>108</v>
      </c>
    </row>
    <row r="10" spans="1:3">
      <c r="A10" s="42" t="s">
        <v>109</v>
      </c>
      <c r="B10" s="26"/>
    </row>
    <row r="11" spans="1:3">
      <c r="A11" s="39" t="s">
        <v>110</v>
      </c>
      <c r="B11" s="39" t="s">
        <v>111</v>
      </c>
    </row>
    <row r="12" spans="1:3">
      <c r="A12" s="39" t="s">
        <v>112</v>
      </c>
      <c r="B12" s="39" t="s">
        <v>111</v>
      </c>
    </row>
    <row r="13" spans="1:3">
      <c r="A13" s="39" t="s">
        <v>113</v>
      </c>
      <c r="B13" s="39" t="s">
        <v>111</v>
      </c>
    </row>
    <row r="14" spans="1:3">
      <c r="A14" s="39" t="s">
        <v>114</v>
      </c>
      <c r="B14" s="39" t="s">
        <v>111</v>
      </c>
    </row>
    <row r="15" spans="1:3">
      <c r="A15" s="22" t="s">
        <v>115</v>
      </c>
      <c r="B15" s="39" t="s">
        <v>111</v>
      </c>
    </row>
    <row r="17" spans="1:3">
      <c r="A17" s="42" t="s">
        <v>116</v>
      </c>
    </row>
    <row r="18" spans="1:3">
      <c r="A18" s="39" t="s">
        <v>117</v>
      </c>
      <c r="B18" s="41">
        <v>1574.4</v>
      </c>
    </row>
    <row r="19" spans="1:3">
      <c r="A19" s="39" t="s">
        <v>118</v>
      </c>
      <c r="B19" s="41">
        <v>968</v>
      </c>
    </row>
    <row r="20" spans="1:3">
      <c r="A20" s="39" t="s">
        <v>119</v>
      </c>
      <c r="B20" s="41">
        <v>525</v>
      </c>
    </row>
    <row r="21" spans="1:3">
      <c r="A21" s="22" t="s">
        <v>120</v>
      </c>
      <c r="B21" s="25">
        <v>0.36</v>
      </c>
    </row>
    <row r="22" spans="1:3">
      <c r="A22" s="22" t="s">
        <v>31</v>
      </c>
      <c r="B22" s="22">
        <v>47</v>
      </c>
    </row>
    <row r="23" spans="1:3">
      <c r="A23" s="22" t="s">
        <v>121</v>
      </c>
      <c r="B23" s="22">
        <v>101</v>
      </c>
    </row>
    <row r="24" spans="1:3">
      <c r="A24" s="22" t="s">
        <v>122</v>
      </c>
      <c r="B24" s="25">
        <v>0.17</v>
      </c>
    </row>
    <row r="25" spans="1:3">
      <c r="A25" s="22" t="s">
        <v>123</v>
      </c>
      <c r="B25" s="25">
        <v>0.14000000000000001</v>
      </c>
    </row>
    <row r="27" spans="1:3">
      <c r="A27" s="42" t="s">
        <v>124</v>
      </c>
    </row>
    <row r="28" spans="1:3">
      <c r="A28" s="46" t="s">
        <v>125</v>
      </c>
      <c r="B28" s="55" t="s">
        <v>126</v>
      </c>
      <c r="C28" s="55"/>
    </row>
    <row r="29" spans="1:3">
      <c r="A29" s="44" t="s">
        <v>127</v>
      </c>
      <c r="B29" s="47" t="s">
        <v>128</v>
      </c>
    </row>
    <row r="30" spans="1:3">
      <c r="A30" s="44" t="s">
        <v>129</v>
      </c>
      <c r="B30" s="44" t="s">
        <v>128</v>
      </c>
    </row>
    <row r="31" spans="1:3">
      <c r="A31" s="44" t="s">
        <v>130</v>
      </c>
      <c r="B31" s="44" t="s">
        <v>128</v>
      </c>
    </row>
    <row r="32" spans="1:3">
      <c r="A32" s="44" t="s">
        <v>131</v>
      </c>
      <c r="B32" s="44" t="s">
        <v>128</v>
      </c>
    </row>
    <row r="33" spans="1:4">
      <c r="A33" s="44" t="s">
        <v>132</v>
      </c>
      <c r="B33" s="49" t="s">
        <v>128</v>
      </c>
    </row>
    <row r="34" spans="1:4">
      <c r="A34" s="48" t="s">
        <v>133</v>
      </c>
      <c r="B34" s="55" t="s">
        <v>134</v>
      </c>
      <c r="C34" s="55"/>
      <c r="D34" s="55"/>
    </row>
  </sheetData>
  <mergeCells count="2">
    <mergeCell ref="B28:C28"/>
    <mergeCell ref="B34:D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A8AD-4FC3-4293-82BA-1BA361D83E4A}">
  <dimension ref="A1:G34"/>
  <sheetViews>
    <sheetView topLeftCell="A6" workbookViewId="0">
      <selection activeCell="B17" sqref="B17"/>
    </sheetView>
  </sheetViews>
  <sheetFormatPr defaultRowHeight="15"/>
  <cols>
    <col min="1" max="1" width="23.85546875" customWidth="1"/>
    <col min="2" max="2" width="43.28515625" customWidth="1"/>
  </cols>
  <sheetData>
    <row r="1" spans="1:3">
      <c r="A1" s="42" t="s">
        <v>135</v>
      </c>
    </row>
    <row r="3" spans="1:3">
      <c r="A3" s="42" t="s">
        <v>136</v>
      </c>
    </row>
    <row r="4" spans="1:3">
      <c r="A4" s="43" t="s">
        <v>44</v>
      </c>
      <c r="B4" s="44" t="s">
        <v>137</v>
      </c>
      <c r="C4" s="50">
        <f>(Financials!F5/Financials!B5)^(1/4)-1</f>
        <v>0.19233963578325919</v>
      </c>
    </row>
    <row r="5" spans="1:3">
      <c r="A5" s="44" t="s">
        <v>138</v>
      </c>
      <c r="B5" s="44" t="s">
        <v>118</v>
      </c>
      <c r="C5" s="44">
        <v>968</v>
      </c>
    </row>
    <row r="6" spans="1:3">
      <c r="A6" s="44" t="s">
        <v>139</v>
      </c>
      <c r="B6" s="44" t="s">
        <v>140</v>
      </c>
      <c r="C6" s="10">
        <v>0.24</v>
      </c>
    </row>
    <row r="7" spans="1:3">
      <c r="A7" s="44" t="s">
        <v>120</v>
      </c>
      <c r="B7" s="44" t="s">
        <v>140</v>
      </c>
      <c r="C7" s="10">
        <v>0.36</v>
      </c>
    </row>
    <row r="8" spans="1:3">
      <c r="A8" s="44" t="s">
        <v>141</v>
      </c>
      <c r="B8" s="44" t="s">
        <v>142</v>
      </c>
      <c r="C8" s="45">
        <v>101</v>
      </c>
    </row>
    <row r="10" spans="1:3">
      <c r="A10" s="42" t="s">
        <v>143</v>
      </c>
    </row>
    <row r="11" spans="1:3">
      <c r="A11" s="43" t="s">
        <v>144</v>
      </c>
      <c r="B11" s="44" t="s">
        <v>145</v>
      </c>
    </row>
    <row r="12" spans="1:3">
      <c r="A12" s="44" t="s">
        <v>146</v>
      </c>
      <c r="B12" s="44" t="s">
        <v>147</v>
      </c>
    </row>
    <row r="13" spans="1:3">
      <c r="A13" s="44" t="s">
        <v>148</v>
      </c>
      <c r="B13" s="44" t="s">
        <v>149</v>
      </c>
    </row>
    <row r="14" spans="1:3">
      <c r="A14" s="44" t="s">
        <v>150</v>
      </c>
      <c r="B14" s="44" t="s">
        <v>151</v>
      </c>
    </row>
    <row r="15" spans="1:3">
      <c r="A15" s="44" t="s">
        <v>152</v>
      </c>
      <c r="B15" s="44" t="s">
        <v>153</v>
      </c>
    </row>
    <row r="16" spans="1:3">
      <c r="A16" s="44" t="s">
        <v>154</v>
      </c>
      <c r="B16" s="45" t="s">
        <v>155</v>
      </c>
    </row>
    <row r="18" spans="1:2">
      <c r="A18" s="42" t="s">
        <v>156</v>
      </c>
    </row>
    <row r="19" spans="1:2">
      <c r="A19" s="43" t="s">
        <v>157</v>
      </c>
      <c r="B19" s="44" t="s">
        <v>158</v>
      </c>
    </row>
    <row r="20" spans="1:2">
      <c r="A20" s="44" t="s">
        <v>127</v>
      </c>
      <c r="B20" s="44" t="s">
        <v>159</v>
      </c>
    </row>
    <row r="21" spans="1:2">
      <c r="A21" s="44" t="s">
        <v>160</v>
      </c>
      <c r="B21" s="44" t="s">
        <v>134</v>
      </c>
    </row>
    <row r="22" spans="1:2">
      <c r="A22" s="44" t="s">
        <v>138</v>
      </c>
      <c r="B22" s="44" t="s">
        <v>161</v>
      </c>
    </row>
    <row r="23" spans="1:2">
      <c r="A23" s="44" t="s">
        <v>162</v>
      </c>
      <c r="B23" s="45" t="s">
        <v>163</v>
      </c>
    </row>
    <row r="25" spans="1:2">
      <c r="A25" s="42" t="s">
        <v>164</v>
      </c>
    </row>
    <row r="26" spans="1:2">
      <c r="A26" s="43" t="s">
        <v>44</v>
      </c>
      <c r="B26" s="44" t="s">
        <v>165</v>
      </c>
    </row>
    <row r="27" spans="1:2">
      <c r="A27" s="44" t="s">
        <v>166</v>
      </c>
      <c r="B27" s="44" t="s">
        <v>167</v>
      </c>
    </row>
    <row r="28" spans="1:2">
      <c r="A28" s="44" t="s">
        <v>168</v>
      </c>
      <c r="B28" s="44" t="s">
        <v>169</v>
      </c>
    </row>
    <row r="29" spans="1:2">
      <c r="A29" s="44" t="s">
        <v>170</v>
      </c>
      <c r="B29" s="44" t="s">
        <v>171</v>
      </c>
    </row>
    <row r="30" spans="1:2">
      <c r="A30" s="44" t="s">
        <v>172</v>
      </c>
      <c r="B30" s="44" t="s">
        <v>173</v>
      </c>
    </row>
    <row r="31" spans="1:2">
      <c r="A31" s="44" t="s">
        <v>174</v>
      </c>
      <c r="B31" s="45" t="s">
        <v>175</v>
      </c>
    </row>
    <row r="33" spans="1:7">
      <c r="A33" s="32" t="s">
        <v>176</v>
      </c>
      <c r="B33" s="56" t="s">
        <v>177</v>
      </c>
      <c r="C33" s="57"/>
      <c r="D33" s="57"/>
      <c r="E33" s="57"/>
      <c r="F33" s="57"/>
      <c r="G33" s="57"/>
    </row>
    <row r="34" spans="1:7">
      <c r="A34" s="32" t="s">
        <v>178</v>
      </c>
      <c r="B34" s="56" t="s">
        <v>179</v>
      </c>
      <c r="C34" s="57"/>
      <c r="D34" s="57"/>
      <c r="E34" s="57"/>
      <c r="F34" s="57"/>
      <c r="G34" s="57"/>
    </row>
  </sheetData>
  <mergeCells count="2">
    <mergeCell ref="B33:G33"/>
    <mergeCell ref="B34:G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F9CE-DA75-46A3-8ABA-20B007D5938F}">
  <dimension ref="A1:E13"/>
  <sheetViews>
    <sheetView tabSelected="1" workbookViewId="0">
      <selection activeCell="B10" sqref="B10"/>
    </sheetView>
  </sheetViews>
  <sheetFormatPr defaultRowHeight="15"/>
  <cols>
    <col min="1" max="1" width="10.28515625" customWidth="1"/>
    <col min="2" max="2" width="29.42578125" customWidth="1"/>
    <col min="3" max="3" width="78.7109375" customWidth="1"/>
    <col min="4" max="4" width="69.5703125" customWidth="1"/>
    <col min="5" max="5" width="15.140625" customWidth="1"/>
  </cols>
  <sheetData>
    <row r="1" spans="1:5">
      <c r="A1" s="54" t="s">
        <v>180</v>
      </c>
      <c r="B1" s="54"/>
    </row>
    <row r="3" spans="1:5">
      <c r="A3" s="42" t="s">
        <v>181</v>
      </c>
      <c r="B3" s="42" t="s">
        <v>182</v>
      </c>
      <c r="C3" s="42" t="s">
        <v>183</v>
      </c>
      <c r="D3" s="42" t="s">
        <v>184</v>
      </c>
      <c r="E3" s="42" t="s">
        <v>185</v>
      </c>
    </row>
    <row r="4" spans="1:5">
      <c r="A4" s="51">
        <v>1</v>
      </c>
      <c r="B4" s="21" t="s">
        <v>136</v>
      </c>
      <c r="C4" s="22" t="s">
        <v>186</v>
      </c>
      <c r="D4" s="39" t="s">
        <v>187</v>
      </c>
    </row>
    <row r="5" spans="1:5">
      <c r="A5" s="52">
        <v>2</v>
      </c>
      <c r="B5" s="21" t="s">
        <v>188</v>
      </c>
      <c r="C5" s="22" t="s">
        <v>189</v>
      </c>
      <c r="D5" s="39" t="s">
        <v>190</v>
      </c>
    </row>
    <row r="6" spans="1:5">
      <c r="A6" s="52">
        <v>3</v>
      </c>
      <c r="B6" s="21" t="s">
        <v>191</v>
      </c>
      <c r="C6" s="22" t="s">
        <v>192</v>
      </c>
      <c r="D6" s="39" t="s">
        <v>193</v>
      </c>
    </row>
    <row r="7" spans="1:5">
      <c r="A7" s="52">
        <v>4</v>
      </c>
      <c r="B7" s="21" t="s">
        <v>194</v>
      </c>
      <c r="C7" s="22" t="s">
        <v>195</v>
      </c>
      <c r="D7" s="39" t="s">
        <v>196</v>
      </c>
    </row>
    <row r="8" spans="1:5">
      <c r="A8" s="52">
        <v>5</v>
      </c>
      <c r="B8" s="21" t="s">
        <v>197</v>
      </c>
      <c r="C8" s="22" t="s">
        <v>198</v>
      </c>
      <c r="D8" s="39" t="s">
        <v>199</v>
      </c>
    </row>
    <row r="9" spans="1:5">
      <c r="A9" s="52">
        <v>6</v>
      </c>
      <c r="B9" s="21" t="s">
        <v>124</v>
      </c>
      <c r="C9" s="22" t="s">
        <v>200</v>
      </c>
      <c r="D9" s="39" t="s">
        <v>201</v>
      </c>
    </row>
    <row r="10" spans="1:5">
      <c r="A10" s="52">
        <v>7</v>
      </c>
      <c r="B10" s="21" t="s">
        <v>174</v>
      </c>
      <c r="C10" s="39" t="s">
        <v>202</v>
      </c>
      <c r="D10" s="39" t="s">
        <v>203</v>
      </c>
    </row>
    <row r="11" spans="1:5">
      <c r="A11" s="52">
        <v>8</v>
      </c>
      <c r="B11" s="21" t="s">
        <v>204</v>
      </c>
      <c r="C11" s="39" t="s">
        <v>205</v>
      </c>
      <c r="D11" s="39" t="s">
        <v>206</v>
      </c>
    </row>
    <row r="12" spans="1:5">
      <c r="A12" s="52">
        <v>9</v>
      </c>
      <c r="B12" s="21" t="s">
        <v>207</v>
      </c>
      <c r="C12" s="39" t="s">
        <v>208</v>
      </c>
      <c r="D12" s="39" t="s">
        <v>209</v>
      </c>
    </row>
    <row r="13" spans="1:5">
      <c r="A13" s="53">
        <v>10</v>
      </c>
      <c r="B13" s="21" t="s">
        <v>210</v>
      </c>
      <c r="C13" s="39" t="s">
        <v>211</v>
      </c>
      <c r="D13" s="39" t="s">
        <v>212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Paridhi Jain</cp:lastModifiedBy>
  <cp:revision/>
  <dcterms:created xsi:type="dcterms:W3CDTF">2026-09-25T17:55:16Z</dcterms:created>
  <dcterms:modified xsi:type="dcterms:W3CDTF">2026-09-26T12:50:23Z</dcterms:modified>
  <cp:category/>
  <cp:contentStatus/>
</cp:coreProperties>
</file>